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69961ac50324355" /></Relationships>
</file>

<file path=xl/workbook.xml><?xml version="1.0" encoding="utf-8"?>
<x:workbook xmlns:x="http://schemas.openxmlformats.org/spreadsheetml/2006/main">
  <x:sheets>
    <x:sheet xmlns:r="http://schemas.openxmlformats.org/officeDocument/2006/relationships" name="Deployment Gate" sheetId="1" r:id="R8b8711bf656d4c50"/>
    <x:sheet xmlns:r="http://schemas.openxmlformats.org/officeDocument/2006/relationships" name="Deployment Checklist" sheetId="2" r:id="R983158d0111c41da"/>
    <x:sheet xmlns:r="http://schemas.openxmlformats.org/officeDocument/2006/relationships" name="Finance Additions" sheetId="3" r:id="R9f73a90ab1134c2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9">
    <x:font>
      <x:sz val="11"/>
      <x:name val="Carlito"/>
    </x:font>
    <x:font>
      <x:b/>
      <x:sz val="18"/>
      <x:color rgb="FFFFFFFF"/>
      <x:name val="Carlito"/>
    </x:font>
    <x:font>
      <x:sz val="10"/>
      <x:color rgb="FFD7E3F0"/>
      <x:name val="Carlito"/>
    </x:font>
    <x:font>
      <x:b/>
      <x:sz val="11"/>
      <x:color rgb="FF475569"/>
      <x:name val="Carlito"/>
    </x:font>
    <x:font>
      <x:b/>
      <x:sz val="11"/>
      <x:color rgb="FFFFFFFF"/>
      <x:name val="Carlito"/>
    </x:font>
    <x:font>
      <x:b/>
      <x:sz val="11"/>
      <x:color rgb="FF0B0B34"/>
      <x:name val="Carlito"/>
    </x:font>
    <x:font>
      <x:sz val="11"/>
      <x:color rgb="FF475569"/>
      <x:name val="Carlito"/>
    </x:font>
    <x:font>
      <x:sz val="10"/>
      <x:color rgb="FF713F12"/>
      <x:name val="Carlito"/>
    </x:font>
    <x:font>
      <x:b/>
      <x:sz val="11"/>
      <x:color rgb="FFF97316"/>
      <x:name val="Carlito"/>
    </x:font>
  </x:fonts>
  <x:fills count="9">
    <x:fill>
      <x:patternFill patternType="none"/>
    </x:fill>
    <x:fill>
      <x:patternFill patternType="gray125"/>
    </x:fill>
    <x:fill>
      <x:patternFill patternType="solid">
        <x:fgColor rgb="FF0B0B34"/>
      </x:patternFill>
    </x:fill>
    <x:fill>
      <x:patternFill patternType="solid">
        <x:fgColor rgb="FFFF9100"/>
      </x:patternFill>
    </x:fill>
    <x:fill>
      <x:patternFill patternType="solid">
        <x:fgColor rgb="FFF8FAFC"/>
      </x:patternFill>
    </x:fill>
    <x:fill>
      <x:patternFill patternType="solid">
        <x:fgColor rgb="FFF97316"/>
      </x:patternFill>
    </x:fill>
    <x:fill>
      <x:patternFill patternType="solid">
        <x:fgColor rgb="FFFFFFFF"/>
      </x:patternFill>
    </x:fill>
    <x:fill>
      <x:patternFill patternType="solid">
        <x:fgColor rgb="FFFFFBEB"/>
      </x:patternFill>
    </x:fill>
    <x:fill>
      <x:patternFill patternType="solid">
        <x:fgColor rgb="FFFFF3E8"/>
      </x:patternFill>
    </x:fill>
  </x:fills>
  <x:borders count="13">
    <x:border/>
    <x:border>
      <x:left style="thin">
        <x:color rgb="FFD8E1EA"/>
      </x:left>
      <x:right style="thin">
        <x:color rgb="FFD8E1EA"/>
      </x:right>
      <x:top style="thin">
        <x:color rgb="FFD8E1EA"/>
      </x:top>
      <x:bottom style="thin">
        <x:color rgb="FFD8E1EA"/>
      </x:bottom>
    </x:border>
    <x:border>
      <x:left style="thin">
        <x:color rgb="FFFACC15"/>
      </x:left>
      <x:top style="thin">
        <x:color rgb="FFFACC15"/>
      </x:top>
    </x:border>
    <x:border>
      <x:top style="thin">
        <x:color rgb="FFFACC15"/>
      </x:top>
    </x:border>
    <x:border>
      <x:right style="thin">
        <x:color rgb="FFFACC15"/>
      </x:right>
      <x:top style="thin">
        <x:color rgb="FFFACC15"/>
      </x:top>
    </x:border>
    <x:border>
      <x:left style="thin">
        <x:color rgb="FFFACC15"/>
      </x:left>
    </x:border>
    <x:border>
      <x:right style="thin">
        <x:color rgb="FFFACC15"/>
      </x:right>
    </x:border>
    <x:border>
      <x:left style="thin">
        <x:color rgb="FFFACC15"/>
      </x:left>
      <x:bottom style="thin">
        <x:color rgb="FFFACC15"/>
      </x:bottom>
    </x:border>
    <x:border>
      <x:bottom style="thin">
        <x:color rgb="FFFACC15"/>
      </x:bottom>
    </x:border>
    <x:border>
      <x:right style="thin">
        <x:color rgb="FFFACC15"/>
      </x:right>
      <x:bottom style="thin">
        <x:color rgb="FFFACC15"/>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10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2" borderId="0" xfId="0" applyNumberFormat="1" applyFont="1" applyFill="1" applyBorder="1"/>
    <x:xf numFmtId="0" fontId="2" fillId="2" borderId="0" xfId="0" applyNumberFormat="1" applyFont="1" applyFill="1" applyBorder="1" applyAlignment="1">
      <x:alignment vertical="center"/>
    </x:xf>
    <x:xf numFmtId="0" fontId="0"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0" fillId="0" borderId="1" xfId="0" applyNumberFormat="1" applyFont="1" applyFill="1" applyBorder="1"/>
    <x:xf numFmtId="200" fontId="0" fillId="0"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4" borderId="1" xfId="0" applyNumberFormat="1" applyFont="1" applyFill="1" applyBorder="1"/>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0" fillId="4" borderId="1" xfId="0" applyNumberFormat="1" applyFont="1" applyFill="1" applyBorder="1" applyAlignment="1">
      <x:alignment wrapText="1"/>
    </x:xf>
    <x:xf numFmtId="0" fontId="6" fillId="4" borderId="1" xfId="0" applyNumberFormat="1" applyFont="1" applyFill="1" applyBorder="1" applyAlignment="1">
      <x:alignment wrapText="1"/>
    </x:xf>
    <x:xf numFmtId="0" fontId="0" fillId="7" borderId="0" xfId="0" applyNumberFormat="1" applyFont="1" applyFill="1" applyBorder="1"/>
    <x:xf numFmtId="0" fontId="7" fillId="7" borderId="0" xfId="0" applyNumberFormat="1" applyFont="1" applyFill="1" applyBorder="1"/>
    <x:xf numFmtId="0" fontId="7" fillId="7" borderId="2" xfId="0" applyNumberFormat="1" applyFont="1" applyFill="1" applyBorder="1"/>
    <x:xf numFmtId="0" fontId="7" fillId="7" borderId="3" xfId="0" applyNumberFormat="1" applyFont="1" applyFill="1" applyBorder="1"/>
    <x:xf numFmtId="0" fontId="7" fillId="7" borderId="4" xfId="0" applyNumberFormat="1" applyFont="1" applyFill="1" applyBorder="1"/>
    <x:xf numFmtId="0" fontId="7" fillId="7" borderId="5" xfId="0" applyNumberFormat="1" applyFont="1" applyFill="1" applyBorder="1"/>
    <x:xf numFmtId="0" fontId="7" fillId="7" borderId="6" xfId="0" applyNumberFormat="1" applyFont="1" applyFill="1" applyBorder="1"/>
    <x:xf numFmtId="0" fontId="7" fillId="7" borderId="7" xfId="0" applyNumberFormat="1" applyFont="1" applyFill="1" applyBorder="1"/>
    <x:xf numFmtId="0" fontId="7" fillId="7" borderId="8" xfId="0" applyNumberFormat="1" applyFont="1" applyFill="1" applyBorder="1"/>
    <x:xf numFmtId="0" fontId="7" fillId="7" borderId="9" xfId="0" applyNumberFormat="1" applyFont="1" applyFill="1" applyBorder="1"/>
    <x:xf numFmtId="0" fontId="7" fillId="7" borderId="2" xfId="0" applyNumberFormat="1" applyFont="1" applyFill="1" applyBorder="1" applyAlignment="1">
      <x:alignment wrapText="1"/>
    </x:xf>
    <x:xf numFmtId="0" fontId="7" fillId="7" borderId="3" xfId="0" applyNumberFormat="1" applyFont="1" applyFill="1" applyBorder="1" applyAlignment="1">
      <x:alignment wrapText="1"/>
    </x:xf>
    <x:xf numFmtId="0" fontId="7" fillId="7" borderId="4" xfId="0" applyNumberFormat="1" applyFont="1" applyFill="1" applyBorder="1" applyAlignment="1">
      <x:alignment wrapText="1"/>
    </x:xf>
    <x:xf numFmtId="0" fontId="7" fillId="7" borderId="5" xfId="0" applyNumberFormat="1" applyFont="1" applyFill="1" applyBorder="1" applyAlignment="1">
      <x:alignment wrapText="1"/>
    </x:xf>
    <x:xf numFmtId="0" fontId="7" fillId="7" borderId="0" xfId="0" applyNumberFormat="1" applyFont="1" applyFill="1" applyBorder="1" applyAlignment="1">
      <x:alignment wrapText="1"/>
    </x:xf>
    <x:xf numFmtId="0" fontId="7" fillId="7" borderId="6" xfId="0" applyNumberFormat="1" applyFont="1" applyFill="1" applyBorder="1" applyAlignment="1">
      <x:alignment wrapText="1"/>
    </x:xf>
    <x:xf numFmtId="0" fontId="7" fillId="7" borderId="7" xfId="0" applyNumberFormat="1" applyFont="1" applyFill="1" applyBorder="1" applyAlignment="1">
      <x:alignment wrapText="1"/>
    </x:xf>
    <x:xf numFmtId="0" fontId="7" fillId="7" borderId="8" xfId="0" applyNumberFormat="1" applyFont="1" applyFill="1" applyBorder="1" applyAlignment="1">
      <x:alignment wrapText="1"/>
    </x:xf>
    <x:xf numFmtId="0" fontId="7" fillId="7" borderId="9" xfId="0" applyNumberFormat="1" applyFont="1" applyFill="1" applyBorder="1" applyAlignment="1">
      <x:alignment wrapText="1"/>
    </x:xf>
    <x:xf numFmtId="0" fontId="7" fillId="7" borderId="2" xfId="0" applyNumberFormat="1" applyFont="1" applyFill="1" applyBorder="1" applyAlignment="1">
      <x:alignment vertical="top" wrapText="1"/>
    </x:xf>
    <x:xf numFmtId="0" fontId="7" fillId="7" borderId="3" xfId="0" applyNumberFormat="1" applyFont="1" applyFill="1" applyBorder="1" applyAlignment="1">
      <x:alignment vertical="top" wrapText="1"/>
    </x:xf>
    <x:xf numFmtId="0" fontId="7" fillId="7" borderId="4" xfId="0" applyNumberFormat="1" applyFont="1" applyFill="1" applyBorder="1" applyAlignment="1">
      <x:alignment vertical="top" wrapText="1"/>
    </x:xf>
    <x:xf numFmtId="0" fontId="7" fillId="7" borderId="5" xfId="0" applyNumberFormat="1" applyFont="1" applyFill="1" applyBorder="1" applyAlignment="1">
      <x:alignment vertical="top" wrapText="1"/>
    </x:xf>
    <x:xf numFmtId="0" fontId="7" fillId="7" borderId="0" xfId="0" applyNumberFormat="1" applyFont="1" applyFill="1" applyBorder="1" applyAlignment="1">
      <x:alignment vertical="top" wrapText="1"/>
    </x:xf>
    <x:xf numFmtId="0" fontId="7" fillId="7" borderId="6" xfId="0" applyNumberFormat="1" applyFont="1" applyFill="1" applyBorder="1" applyAlignment="1">
      <x:alignment vertical="top" wrapText="1"/>
    </x:xf>
    <x:xf numFmtId="0" fontId="7" fillId="7" borderId="7" xfId="0" applyNumberFormat="1" applyFont="1" applyFill="1" applyBorder="1" applyAlignment="1">
      <x:alignment vertical="top" wrapText="1"/>
    </x:xf>
    <x:xf numFmtId="0" fontId="7" fillId="7" borderId="8" xfId="0" applyNumberFormat="1" applyFont="1" applyFill="1" applyBorder="1" applyAlignment="1">
      <x:alignment vertical="top" wrapText="1"/>
    </x:xf>
    <x:xf numFmtId="0" fontId="7" fillId="7" borderId="9" xfId="0" applyNumberFormat="1" applyFont="1" applyFill="1" applyBorder="1" applyAlignment="1">
      <x:alignment vertical="top" wrapText="1"/>
    </x:xf>
    <x:xf numFmtId="0" fontId="4" fillId="5" borderId="0" xfId="0" applyNumberFormat="1" applyFont="1" applyFill="1" applyBorder="1" applyAlignment="1">
      <x:alignment vertical="center" wrapText="1"/>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8" borderId="10" xfId="0" applyNumberFormat="1" applyFont="1" applyFill="1" applyBorder="1" applyAlignment="1">
      <x:alignment vertical="top" wrapText="1"/>
    </x:xf>
    <x:xf numFmtId="0" fontId="0" fillId="8" borderId="11"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0" borderId="1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0" borderId="12" xfId="0" applyNumberFormat="1" applyFont="1" applyFill="1" applyBorder="1" applyAlignment="1">
      <x:alignment vertical="top" wrapText="1"/>
    </x:xf>
    <x:xf numFmtId="0" fontId="8" fillId="8" borderId="10" xfId="0" applyNumberFormat="1" applyFont="1" applyFill="1" applyBorder="1" applyAlignment="1">
      <x:alignment horizontal="center" vertical="top" wrapText="1"/>
    </x:xf>
    <x:xf numFmtId="0" fontId="8" fillId="0" borderId="11" xfId="0" applyNumberFormat="1" applyFont="1" applyFill="1" applyBorder="1" applyAlignment="1">
      <x:alignment horizontal="center" vertical="top" wrapText="1"/>
    </x:xf>
    <x:xf numFmtId="0" fontId="8" fillId="8" borderId="11" xfId="0" applyNumberFormat="1" applyFont="1" applyFill="1" applyBorder="1" applyAlignment="1">
      <x:alignment horizontal="center" vertical="top" wrapText="1"/>
    </x:xf>
    <x:xf numFmtId="0" fontId="8" fillId="0" borderId="12" xfId="0" applyNumberFormat="1" applyFont="1" applyFill="1" applyBorder="1" applyAlignment="1">
      <x:alignment horizontal="center" vertical="top" wrapText="1"/>
    </x:xf>
    <x:xf numFmtId="0" fontId="7" fillId="7" borderId="2" xfId="0" applyNumberFormat="1" applyFont="1" applyFill="1" applyBorder="1" applyAlignment="1">
      <x:alignment vertical="center" wrapText="1"/>
    </x:xf>
    <x:xf numFmtId="0" fontId="7" fillId="7" borderId="3" xfId="0" applyNumberFormat="1" applyFont="1" applyFill="1" applyBorder="1" applyAlignment="1">
      <x:alignment vertical="center" wrapText="1"/>
    </x:xf>
    <x:xf numFmtId="0" fontId="7" fillId="7" borderId="4" xfId="0" applyNumberFormat="1" applyFont="1" applyFill="1" applyBorder="1" applyAlignment="1">
      <x:alignment vertical="center" wrapText="1"/>
    </x:xf>
    <x:xf numFmtId="0" fontId="7" fillId="7" borderId="7" xfId="0" applyNumberFormat="1" applyFont="1" applyFill="1" applyBorder="1" applyAlignment="1">
      <x:alignment vertical="center" wrapText="1"/>
    </x:xf>
    <x:xf numFmtId="0" fontId="7" fillId="7" borderId="8" xfId="0" applyNumberFormat="1" applyFont="1" applyFill="1" applyBorder="1" applyAlignment="1">
      <x:alignment vertical="center" wrapText="1"/>
    </x:xf>
    <x:xf numFmtId="0" fontId="7" fillId="7" borderId="9" xfId="0" applyNumberFormat="1" applyFont="1" applyFill="1" applyBorder="1" applyAlignment="1">
      <x:alignment vertical="center" wrapText="1"/>
    </x:xf>
    <x:xf numFmtId="0" fontId="0" fillId="6" borderId="0" xfId="0" applyNumberFormat="1" applyFont="1" applyFill="1" applyBorder="1"/>
    <x:xf numFmtId="0" fontId="0" fillId="6" borderId="10" xfId="0" applyNumberFormat="1" applyFont="1" applyFill="1" applyBorder="1"/>
    <x:xf numFmtId="0" fontId="0" fillId="6" borderId="11" xfId="0" applyNumberFormat="1" applyFont="1" applyFill="1" applyBorder="1"/>
    <x:xf numFmtId="0" fontId="0" fillId="6" borderId="12" xfId="0" applyNumberFormat="1" applyFont="1" applyFill="1" applyBorder="1"/>
    <x:xf numFmtId="0" fontId="0" fillId="6" borderId="10" xfId="0" applyNumberFormat="1" applyFont="1" applyFill="1" applyBorder="1" applyAlignment="1">
      <x:alignment wrapText="1"/>
    </x:xf>
    <x:xf numFmtId="0" fontId="0" fillId="6" borderId="11" xfId="0" applyNumberFormat="1" applyFont="1" applyFill="1" applyBorder="1" applyAlignment="1">
      <x:alignment wrapText="1"/>
    </x:xf>
    <x:xf numFmtId="0" fontId="0" fillId="6" borderId="12" xfId="0" applyNumberFormat="1" applyFont="1" applyFill="1" applyBorder="1" applyAlignment="1">
      <x:alignment wrapText="1"/>
    </x:xf>
    <x:xf numFmtId="0" fontId="0" fillId="6" borderId="10" xfId="0" applyNumberFormat="1" applyFont="1" applyFill="1" applyBorder="1" applyAlignment="1">
      <x:alignment vertical="top" wrapText="1"/>
    </x:xf>
    <x:xf numFmtId="0" fontId="0" fillId="6" borderId="11" xfId="0" applyNumberFormat="1" applyFont="1" applyFill="1" applyBorder="1" applyAlignment="1">
      <x:alignment vertical="top" wrapText="1"/>
    </x:xf>
    <x:xf numFmtId="0" fontId="0" fillId="6" borderId="12" xfId="0" applyNumberFormat="1" applyFont="1" applyFill="1" applyBorder="1" applyAlignment="1">
      <x:alignment vertical="top" wrapText="1"/>
    </x:xf>
    <x:xf numFmtId="0" fontId="0" fillId="4" borderId="10" xfId="0" applyNumberFormat="1" applyFont="1" applyFill="1" applyBorder="1" applyAlignment="1">
      <x:alignment vertical="top" wrapText="1"/>
    </x:xf>
    <x:xf numFmtId="0" fontId="0" fillId="4" borderId="11" xfId="0" applyNumberFormat="1" applyFont="1" applyFill="1" applyBorder="1" applyAlignment="1">
      <x:alignment vertical="top" wrapText="1"/>
    </x:xf>
    <x:xf numFmtId="0" fontId="0" fillId="4" borderId="12" xfId="0" applyNumberFormat="1" applyFont="1" applyFill="1" applyBorder="1" applyAlignment="1">
      <x:alignment vertical="top" wrapText="1"/>
    </x:xf>
    <x:xf numFmtId="0" fontId="8" fillId="4" borderId="10" xfId="0" applyNumberFormat="1" applyFont="1" applyFill="1" applyBorder="1" applyAlignment="1">
      <x:alignment vertical="top" wrapText="1"/>
    </x:xf>
    <x:xf numFmtId="0" fontId="8" fillId="4" borderId="11" xfId="0" applyNumberFormat="1" applyFont="1" applyFill="1" applyBorder="1" applyAlignment="1">
      <x:alignment vertical="top" wrapText="1"/>
    </x:xf>
    <x:xf numFmtId="0" fontId="8" fillId="4" borderId="12" xfId="0" applyNumberFormat="1" applyFont="1" applyFill="1" applyBorder="1" applyAlignment="1">
      <x:alignment vertical="top" wrapText="1"/>
    </x:xf>
    <x:xf numFmtId="0" fontId="8" fillId="4" borderId="10" xfId="0" applyNumberFormat="1" applyFont="1" applyFill="1" applyBorder="1" applyAlignment="1">
      <x:alignment horizontal="center" vertical="top" wrapText="1"/>
    </x:xf>
    <x:xf numFmtId="0" fontId="8" fillId="4" borderId="11" xfId="0" applyNumberFormat="1" applyFont="1" applyFill="1" applyBorder="1" applyAlignment="1">
      <x:alignment horizontal="center" vertical="top" wrapText="1"/>
    </x:xf>
    <x:xf numFmtId="0" fontId="8" fillId="4" borderId="12" xfId="0" applyNumberFormat="1" applyFont="1" applyFill="1" applyBorder="1" applyAlignment="1">
      <x:alignment horizontal="center" vertical="top" wrapText="1"/>
    </x:xf>
  </x:cellXfs>
  <x:cellStyles count="1">
    <x:cellStyle name="Normal" xfId="0"/>
  </x:cellStyles>
  <x:dxfs count="9">
    <x:dxf>
      <x:font>
        <x:b/>
        <x:color rgb="FF991B1B"/>
      </x:font>
      <x:fill>
        <x:patternFill patternType="solid">
          <x:bgColor rgb="FFFEE2E2"/>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FF7E6"/>
        </x:patternFill>
      </x:fill>
    </x:dxf>
    <x:dxf>
      <x:font>
        <x:color rgb="FF475569"/>
      </x:font>
      <x:fill>
        <x:patternFill patternType="solid">
          <x:bgColor rgb="FFF8FAFC"/>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FF7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285ffb864dd47db" /><Relationship Type="http://schemas.openxmlformats.org/officeDocument/2006/relationships/theme" Target="/xl/theme/theme1.xml" Id="R1faae84494e4401e" /><Relationship Type="http://schemas.openxmlformats.org/officeDocument/2006/relationships/sharedStrings" Target="/xl/sharedStrings.xml" Id="Rf1558fbd70e54c7b" /><Relationship Type="http://schemas.openxmlformats.org/officeDocument/2006/relationships/worksheet" Target="/xl/worksheets/sheet1.xml" Id="R8b8711bf656d4c50" /><Relationship Type="http://schemas.openxmlformats.org/officeDocument/2006/relationships/worksheet" Target="/xl/worksheets/sheet2.xml" Id="R983158d0111c41da" /><Relationship Type="http://schemas.openxmlformats.org/officeDocument/2006/relationships/worksheet" Target="/xl/worksheets/sheet3.xml" Id="R9f73a90ab1134c2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44" hidden="0" customWidth="1"/>
    <x:col min="3" max="3" width="36"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 min="10" max="10" width="14" hidden="0" customWidth="1"/>
  </x:cols>
  <x:sheetData>
    <x:row r="1" ht="26" customHeight="1">
      <x:c r="A1" s="3" t="str">
        <x:v>HYPERFEEDS ANIMAL NUTRITION | HYPER MES Deployment Checklist</x:v>
      </x:c>
      <x:c r="B1" s="3"/>
      <x:c r="C1" s="3"/>
      <x:c r="D1" s="3"/>
      <x:c r="E1" s="3"/>
      <x:c r="F1" s="3"/>
      <x:c r="G1" s="3"/>
      <x:c r="H1" s="3"/>
      <x:c r="I1" s="3"/>
      <x:c r="J1" s="3"/>
    </x:row>
    <x:row r="2" ht="26" customHeight="1">
      <x:c r="A2" s="5" t="str">
        <x:v>Simple UAT release checklist for Operations, Finance, IT, and the Sage SDK consultant</x:v>
      </x:c>
      <x:c r="B2" s="5"/>
      <x:c r="C2" s="5"/>
      <x:c r="D2" s="5"/>
      <x:c r="E2" s="5"/>
      <x:c r="F2" s="5"/>
      <x:c r="G2" s="5"/>
      <x:c r="H2" s="5"/>
      <x:c r="I2" s="5"/>
      <x:c r="J2" s="5"/>
    </x:row>
    <x:row r="3" ht="5" customHeight="1">
      <x:c r="A3" s="6"/>
      <x:c r="B3" s="6"/>
      <x:c r="C3" s="6"/>
      <x:c r="D3" s="6"/>
      <x:c r="E3" s="6"/>
      <x:c r="F3" s="6"/>
      <x:c r="G3" s="6"/>
      <x:c r="H3" s="6"/>
      <x:c r="I3" s="6"/>
      <x:c r="J3" s="6"/>
    </x:row>
    <x:row r="4">
      <x:c r="A4" s="9" t="str">
        <x:v>Release scope</x:v>
      </x:c>
      <x:c r="B4" s="10" t="str">
        <x:v>Sage UAT integration and MES operational workflow</x:v>
      </x:c>
    </x:row>
    <x:row r="5">
      <x:c r="A5" s="9" t="str">
        <x:v>Prepared for</x:v>
      </x:c>
      <x:c r="B5" s="10" t="str">
        <x:v>Operations, Finance, IT, and Sage SDK consultant</x:v>
      </x:c>
    </x:row>
    <x:row r="6">
      <x:c r="A6" s="9" t="str">
        <x:v>Deployment decision date</x:v>
      </x:c>
      <x:c r="B6" s="11" t="str"/>
    </x:row>
    <x:row r="8">
      <x:c r="A8" s="14" t="str">
        <x:v>Deployment Decision Summary</x:v>
      </x:c>
      <x:c r="B8" s="14"/>
      <x:c r="C8" s="14"/>
      <x:c r="D8" s="14"/>
      <x:c r="E8" s="14"/>
      <x:c r="F8" s="14"/>
      <x:c r="G8" s="14"/>
      <x:c r="H8" s="14"/>
      <x:c r="I8" s="14"/>
      <x:c r="J8" s="14"/>
    </x:row>
    <x:row r="10">
      <x:c r="A10" s="9" t="str">
        <x:v>Total criteria</x:v>
      </x:c>
      <x:c r="B10" s="9"/>
      <x:c r="C10" s="18" t="n">
        <x:f>COUNTA('Deployment Checklist'!A5:A20)</x:f>
        <x:v>10</x:v>
      </x:c>
    </x:row>
    <x:row r="11">
      <x:c r="A11" s="9" t="str">
        <x:v>Passed</x:v>
      </x:c>
      <x:c r="B11" s="9"/>
      <x:c r="C11" s="18" t="n">
        <x:f>COUNTIF('Deployment Checklist'!E5:E20,"Pass")</x:f>
        <x:v>2</x:v>
      </x:c>
    </x:row>
    <x:row r="12">
      <x:c r="A12" s="9" t="str">
        <x:v>Open / conditional</x:v>
      </x:c>
      <x:c r="B12" s="9"/>
      <x:c r="C12" s="18" t="n">
        <x:f>COUNTIF('Deployment Checklist'!E5:E20,"Not Tested")+COUNTIF('Deployment Checklist'!E5:E20,"Conditional Pass")</x:f>
        <x:v>8</x:v>
      </x:c>
    </x:row>
    <x:row r="13">
      <x:c r="A13" s="9" t="str">
        <x:v>Failed</x:v>
      </x:c>
      <x:c r="B13" s="9"/>
      <x:c r="C13" s="18" t="n">
        <x:f>COUNTIF('Deployment Checklist'!E5:E20,"Fail")</x:f>
        <x:v>0</x:v>
      </x:c>
    </x:row>
    <x:row r="14">
      <x:c r="A14" s="9" t="str">
        <x:v>Recommended decision</x:v>
      </x:c>
      <x:c r="B14" s="9"/>
      <x:c r="C14" s="21" t="str">
        <x:f>IF(C13&gt;0,"HOLD - resolve failed criteria",IF(C12&gt;0,"CONDITIONAL GO - owners must accept open items","GO - subject to formal sign-off"))</x:f>
        <x:v>CONDITIONAL GO - owners must accept open items</x:v>
      </x:c>
    </x:row>
    <x:row r="17">
      <x:c r="A17" s="14" t="str">
        <x:v>Mandatory Sign-Offs</x:v>
      </x:c>
      <x:c r="B17" s="14"/>
      <x:c r="C17" s="14"/>
      <x:c r="D17" s="14"/>
      <x:c r="E17" s="14"/>
      <x:c r="F17" s="14"/>
      <x:c r="G17" s="14"/>
      <x:c r="H17" s="14"/>
      <x:c r="I17" s="14"/>
      <x:c r="J17" s="14"/>
    </x:row>
    <x:row r="19" ht="28" customHeight="1">
      <x:c r="A19" s="23" t="str">
        <x:v>Function</x:v>
      </x:c>
      <x:c r="B19" s="23" t="str">
        <x:v>Named signatory</x:v>
      </x:c>
      <x:c r="C19" s="23" t="str">
        <x:v>Decision</x:v>
      </x:c>
      <x:c r="D19" s="23" t="str">
        <x:v>Date</x:v>
      </x:c>
      <x:c r="E19" s="23" t="str">
        <x:v>Comments</x:v>
      </x:c>
      <x:c r="F19" s="23" t="str">
        <x:v>Required before release</x:v>
      </x:c>
    </x:row>
    <x:row r="20" ht="28" customHeight="1">
      <x:c r="A20" s="24" t="str">
        <x:v>Operations / Production</x:v>
      </x:c>
      <x:c r="B20" s="24" t="str"/>
      <x:c r="C20" s="24" t="str">
        <x:v>Pending</x:v>
      </x:c>
      <x:c r="D20" s="25" t="str"/>
      <x:c r="E20" s="24" t="str"/>
      <x:c r="F20" s="27" t="str">
        <x:v>Yes</x:v>
      </x:c>
    </x:row>
    <x:row r="21" ht="28" customHeight="1">
      <x:c r="A21" s="24" t="str">
        <x:v>Raw Materials / Warehouse</x:v>
      </x:c>
      <x:c r="B21" s="24" t="str"/>
      <x:c r="C21" s="24" t="str">
        <x:v>Pending</x:v>
      </x:c>
      <x:c r="D21" s="25" t="str"/>
      <x:c r="E21" s="24" t="str"/>
      <x:c r="F21" s="27" t="str">
        <x:v>Yes</x:v>
      </x:c>
    </x:row>
    <x:row r="22" ht="28" customHeight="1">
      <x:c r="A22" s="24" t="str">
        <x:v>Finance</x:v>
      </x:c>
      <x:c r="B22" s="24" t="str"/>
      <x:c r="C22" s="24" t="str">
        <x:v>Pending</x:v>
      </x:c>
      <x:c r="D22" s="25" t="str"/>
      <x:c r="E22" s="24" t="str"/>
      <x:c r="F22" s="27" t="str">
        <x:v>Yes</x:v>
      </x:c>
    </x:row>
    <x:row r="23" ht="28" customHeight="1">
      <x:c r="A23" s="24" t="str">
        <x:v>IT / MES Owner</x:v>
      </x:c>
      <x:c r="B23" s="24" t="str">
        <x:v>Joseph Kaseke</x:v>
      </x:c>
      <x:c r="C23" s="24" t="str">
        <x:v>Approved with Conditions</x:v>
      </x:c>
      <x:c r="D23" s="25" t="n">
        <x:v>46260</x:v>
      </x:c>
      <x:c r="E23" s="24" t="str">
        <x:v>UAT verified; live Sage protected.</x:v>
      </x:c>
      <x:c r="F23" s="27" t="str">
        <x:v>Yes</x:v>
      </x:c>
    </x:row>
    <x:row r="24" ht="28" customHeight="1">
      <x:c r="A24" s="24" t="str">
        <x:v>Sage SDK Consultant</x:v>
      </x:c>
      <x:c r="B24" s="24" t="str"/>
      <x:c r="C24" s="24" t="str">
        <x:v>Pending</x:v>
      </x:c>
      <x:c r="D24" s="25" t="str"/>
      <x:c r="E24" s="24" t="str"/>
      <x:c r="F24" s="27" t="str">
        <x:v>Recommended</x:v>
      </x:c>
    </x:row>
    <x:row r="27">
      <x:c r="A27" s="14" t="str">
        <x:v>Release Notes</x:v>
      </x:c>
      <x:c r="B27" s="14"/>
      <x:c r="C27" s="14"/>
      <x:c r="D27" s="14"/>
      <x:c r="E27" s="14"/>
      <x:c r="F27" s="14"/>
      <x:c r="G27" s="14"/>
      <x:c r="H27" s="14"/>
      <x:c r="I27" s="14"/>
      <x:c r="J27" s="14"/>
    </x:row>
    <x:row r="29" ht="22" customHeight="1">
      <x:c r="A29" s="47" t="str">
        <x:v>This workbook is the deployment decision record. A production deployment should proceed only after all critical criteria pass, Finance reconciles the agreed transaction set, and the required signatories approve the release. GRV rollout is deliberately separated from the production workflow gate unless Finance explicitly includes it.</x:v>
      </x:c>
      <x:c r="B29" s="48"/>
      <x:c r="C29" s="48"/>
      <x:c r="D29" s="48"/>
      <x:c r="E29" s="48"/>
      <x:c r="F29" s="48"/>
      <x:c r="G29" s="48"/>
      <x:c r="H29" s="48"/>
      <x:c r="I29" s="48"/>
      <x:c r="J29" s="49"/>
    </x:row>
    <x:row r="30" ht="22" customHeight="1">
      <x:c r="A30" s="50"/>
      <x:c r="B30" s="51"/>
      <x:c r="C30" s="51"/>
      <x:c r="D30" s="51"/>
      <x:c r="E30" s="51"/>
      <x:c r="F30" s="51"/>
      <x:c r="G30" s="51"/>
      <x:c r="H30" s="51"/>
      <x:c r="I30" s="51"/>
      <x:c r="J30" s="52"/>
    </x:row>
    <x:row r="31" ht="22" customHeight="1">
      <x:c r="A31" s="50"/>
      <x:c r="B31" s="51"/>
      <x:c r="C31" s="51"/>
      <x:c r="D31" s="51"/>
      <x:c r="E31" s="51"/>
      <x:c r="F31" s="51"/>
      <x:c r="G31" s="51"/>
      <x:c r="H31" s="51"/>
      <x:c r="I31" s="51"/>
      <x:c r="J31" s="52"/>
    </x:row>
    <x:row r="32" ht="22" customHeight="1">
      <x:c r="A32" s="53"/>
      <x:c r="B32" s="54"/>
      <x:c r="C32" s="54"/>
      <x:c r="D32" s="54"/>
      <x:c r="E32" s="54"/>
      <x:c r="F32" s="54"/>
      <x:c r="G32" s="54"/>
      <x:c r="H32" s="54"/>
      <x:c r="I32" s="54"/>
      <x:c r="J32" s="55"/>
    </x:row>
  </x:sheetData>
  <x:mergeCells>
    <x:mergeCell ref="A1:J1"/>
    <x:mergeCell ref="A2:J2"/>
    <x:mergeCell ref="A8:J8"/>
    <x:mergeCell ref="A17:J17"/>
    <x:mergeCell ref="A27:J27"/>
    <x:mergeCell ref="A29:J32"/>
  </x:mergeCells>
  <x:conditionalFormatting sqref="C14:C14">
    <x:cfRule type="containsText" dxfId="0" priority="1" operator="containsText" text="HOLD"/>
    <x:cfRule type="containsText" dxfId="1" priority="2" operator="containsText" text="GO"/>
  </x:conditionalFormatting>
  <x:dataValidations count="1">
    <x:dataValidation type="list" sqref="C20:C24">
      <x:formula1>"Pending,Approved,Approved with Conditions,Rejected"</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24" hidden="0" customWidth="1"/>
    <x:col min="3" max="3" width="64" hidden="0" customWidth="1"/>
    <x:col min="4" max="4" width="28" hidden="0" customWidth="1"/>
    <x:col min="5" max="5" width="18" hidden="0" customWidth="1"/>
    <x:col min="6" max="6" width="45" hidden="0" customWidth="1"/>
  </x:cols>
  <x:sheetData>
    <x:row r="1" ht="26" customHeight="1">
      <x:c r="A1" s="3" t="str">
        <x:v>HYPERFEEDS | HYPER MES UAT Deployment Checklist</x:v>
      </x:c>
      <x:c r="B1" s="3"/>
      <x:c r="C1" s="3"/>
      <x:c r="D1" s="3"/>
      <x:c r="E1" s="3"/>
      <x:c r="F1" s="3"/>
    </x:row>
    <x:row r="2" ht="26" customHeight="1">
      <x:c r="A2" s="5" t="str">
        <x:v>Complete each line with the department responsible. Keep evidence or comments short and practical.</x:v>
      </x:c>
      <x:c r="B2" s="5"/>
      <x:c r="C2" s="5"/>
      <x:c r="D2" s="5"/>
      <x:c r="E2" s="5"/>
      <x:c r="F2" s="5"/>
    </x:row>
    <x:row r="3" ht="5" customHeight="1">
      <x:c r="A3" s="6"/>
      <x:c r="B3" s="6"/>
      <x:c r="C3" s="6"/>
      <x:c r="D3" s="6"/>
      <x:c r="E3" s="6"/>
      <x:c r="F3" s="6"/>
    </x:row>
    <x:row r="4" ht="35" customHeight="1">
      <x:c r="A4" s="56" t="str">
        <x:v>No.</x:v>
      </x:c>
      <x:c r="B4" s="56" t="str">
        <x:v>Function</x:v>
      </x:c>
      <x:c r="C4" s="56" t="str">
        <x:v>What must work before deployment</x:v>
      </x:c>
      <x:c r="D4" s="56" t="str">
        <x:v>Owner</x:v>
      </x:c>
      <x:c r="E4" s="56" t="str">
        <x:v>Result</x:v>
      </x:c>
      <x:c r="F4" s="56" t="str">
        <x:v>Evidence / comments</x:v>
      </x:c>
    </x:row>
    <x:row r="5" ht="48" customHeight="1">
      <x:c r="A5" s="72" t="str">
        <x:v>1</x:v>
      </x:c>
      <x:c r="B5" s="66" t="str">
        <x:v>Access and UAT connection</x:v>
      </x:c>
      <x:c r="C5" s="66" t="str">
        <x:v>Correct user access is in place and the Sage UAT bridge is connected. Admin keeps full access.</x:v>
      </x:c>
      <x:c r="D5" s="66" t="str">
        <x:v>IT / Sage SDK</x:v>
      </x:c>
      <x:c r="E5" s="66" t="str">
        <x:v>Pass</x:v>
      </x:c>
      <x:c r="F5" s="66" t="str">
        <x:v>UAT Sage SDK API connection confirmed; the bridge worker starts and reports a successful SDK connection.</x:v>
      </x:c>
    </x:row>
    <x:row r="6" ht="48" customHeight="1">
      <x:c r="A6" s="73" t="str">
        <x:v>2</x:v>
      </x:c>
      <x:c r="B6" s="64" t="str">
        <x:v>Weighbridge and GRN</x:v>
      </x:c>
      <x:c r="C6" s="64" t="str">
        <x:v>Weighbridge ticket and GRN can be captured, checked, and approved by the correct team.</x:v>
      </x:c>
      <x:c r="D6" s="64" t="str">
        <x:v>Weighbridge / RM / Finance</x:v>
      </x:c>
      <x:c r="E6" s="64" t="str">
        <x:v>Not Tested</x:v>
      </x:c>
      <x:c r="F6" s="64" t="str"/>
    </x:row>
    <x:row r="7" ht="48" customHeight="1">
      <x:c r="A7" s="74" t="str">
        <x:v>3</x:v>
      </x:c>
      <x:c r="B7" s="67" t="str">
        <x:v>RM Warehouse</x:v>
      </x:c>
      <x:c r="C7" s="67" t="str">
        <x:v>Sage RM stock, stock alerts, and reorder levels are visible and match a Sage sample.</x:v>
      </x:c>
      <x:c r="D7" s="67" t="str">
        <x:v>RM Warehouse + Finance</x:v>
      </x:c>
      <x:c r="E7" s="67" t="str">
        <x:v>Not Tested</x:v>
      </x:c>
      <x:c r="F7" s="67" t="str"/>
    </x:row>
    <x:row r="8" ht="48" customHeight="1">
      <x:c r="A8" s="73" t="str">
        <x:v>4</x:v>
      </x:c>
      <x:c r="B8" s="64" t="str">
        <x:v>Material transfer</x:v>
      </x:c>
      <x:c r="C8" s="64" t="str">
        <x:v>RM can transfer material to Production once, and Production can receive it without duplicates.</x:v>
      </x:c>
      <x:c r="D8" s="64" t="str">
        <x:v>RM + Production</x:v>
      </x:c>
      <x:c r="E8" s="64" t="str">
        <x:v>Pass</x:v>
      </x:c>
      <x:c r="F8" s="64" t="str">
        <x:v>UAT RM-to-Production transfer posted through the SDK; the Production receipt does not create a second Sage posting.</x:v>
      </x:c>
    </x:row>
    <x:row r="9" ht="48" customHeight="1">
      <x:c r="A9" s="74" t="str">
        <x:v>5</x:v>
      </x:c>
      <x:c r="B9" s="67" t="str">
        <x:v>Production Warehouse</x:v>
      </x:c>
      <x:c r="C9" s="67" t="str">
        <x:v>Production can see current PD stock and its floor minimum alerts.</x:v>
      </x:c>
      <x:c r="D9" s="67" t="str">
        <x:v>Production + Finance</x:v>
      </x:c>
      <x:c r="E9" s="67" t="str">
        <x:v>Not Tested</x:v>
      </x:c>
      <x:c r="F9" s="67" t="str"/>
    </x:row>
    <x:row r="10" ht="48" customHeight="1">
      <x:c r="A10" s="73" t="str">
        <x:v>6</x:v>
      </x:c>
      <x:c r="B10" s="64" t="str">
        <x:v>Production process</x:v>
      </x:c>
      <x:c r="C10" s="64" t="str">
        <x:v>A batch can be created, issued, completed, and logged with the correct MFP reference.</x:v>
      </x:c>
      <x:c r="D10" s="64" t="str">
        <x:v>Production</x:v>
      </x:c>
      <x:c r="E10" s="64" t="str">
        <x:v>Conditional Pass</x:v>
      </x:c>
      <x:c r="F10" s="64" t="str">
        <x:v>Material issue, finished-goods receipt, and MFP logging tested in UAT. Finance reconciliation remains to be signed off.</x:v>
      </x:c>
    </x:row>
    <x:row r="11" ht="48" customHeight="1">
      <x:c r="A11" s="74" t="str">
        <x:v>7</x:v>
      </x:c>
      <x:c r="B11" s="67" t="str">
        <x:v>Finished goods to Dispatch</x:v>
      </x:c>
      <x:c r="C11" s="67" t="str">
        <x:v>Finished goods move from Production to Dispatch once and show the correct Sage reference.</x:v>
      </x:c>
      <x:c r="D11" s="67" t="str">
        <x:v>Logistics + Finance</x:v>
      </x:c>
      <x:c r="E11" s="67" t="str">
        <x:v>Not Tested</x:v>
      </x:c>
      <x:c r="F11" s="67" t="str"/>
    </x:row>
    <x:row r="12" ht="48" customHeight="1">
      <x:c r="A12" s="73" t="str">
        <x:v>8</x:v>
      </x:c>
      <x:c r="B12" s="64" t="str">
        <x:v>Dispatch operations</x:v>
      </x:c>
      <x:c r="C12" s="64" t="str">
        <x:v>Logistics can create, load, dispatch, and confirm delivery with a complete status trail.</x:v>
      </x:c>
      <x:c r="D12" s="64" t="str">
        <x:v>Logistics</x:v>
      </x:c>
      <x:c r="E12" s="64" t="str">
        <x:v>Not Tested</x:v>
      </x:c>
      <x:c r="F12" s="64" t="str"/>
    </x:row>
    <x:row r="13" ht="48" customHeight="1">
      <x:c r="A13" s="74" t="str">
        <x:v>9</x:v>
      </x:c>
      <x:c r="B13" s="67" t="str">
        <x:v>Finance costing and reconciliation</x:v>
      </x:c>
      <x:c r="C13" s="67" t="str">
        <x:v>Finance confirms costs, Sage valuation, quantities, and references remain as agreed in Sage.</x:v>
      </x:c>
      <x:c r="D13" s="67" t="str">
        <x:v>Finance</x:v>
      </x:c>
      <x:c r="E13" s="67" t="str">
        <x:v>Not Tested</x:v>
      </x:c>
      <x:c r="F13" s="67" t="str"/>
    </x:row>
    <x:row r="14" ht="48" customHeight="1">
      <x:c r="A14" s="75" t="str">
        <x:v>10</x:v>
      </x:c>
      <x:c r="B14" s="65" t="str">
        <x:v>Controls before go-live</x:v>
      </x:c>
      <x:c r="C14" s="65" t="str">
        <x:v>Retries do not duplicate postings, errors are visible, dashboards refresh, and live Sage stays protected until approval.</x:v>
      </x:c>
      <x:c r="D14" s="65" t="str">
        <x:v>IT + Finance</x:v>
      </x:c>
      <x:c r="E14" s="65" t="str">
        <x:v>Conditional Pass</x:v>
      </x:c>
      <x:c r="F14" s="65" t="str">
        <x:v>Bridge idempotency and retry controls are enabled. Live Sage remains protected; final sign-offs are still required.</x:v>
      </x:c>
    </x:row>
  </x:sheetData>
  <x:mergeCells>
    <x:mergeCell ref="A1:F1"/>
    <x:mergeCell ref="A2:F2"/>
  </x:mergeCells>
  <x:conditionalFormatting sqref="E5:E14">
    <x:cfRule type="containsText" dxfId="2" priority="1" operator="containsText" text="Pass"/>
    <x:cfRule type="containsText" dxfId="3" priority="2" operator="containsText" text="Fail"/>
    <x:cfRule type="containsText" dxfId="4" priority="3" operator="containsText" text="Conditional"/>
    <x:cfRule type="containsText" dxfId="5" priority="4" operator="containsText" text="Not Tested"/>
  </x:conditionalFormatting>
  <x:dataValidations count="1">
    <x:dataValidation type="list" sqref="E5:E14">
      <x:formula1>"Not Tested,Pass,Conditional Pass,Fail"</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34" hidden="0" customWidth="1"/>
    <x:col min="3" max="3" width="38" hidden="0" customWidth="1"/>
    <x:col min="4" max="4" width="21" hidden="0" customWidth="1"/>
    <x:col min="5" max="5" width="13" hidden="0" customWidth="1"/>
    <x:col min="6" max="6" width="18" hidden="0" customWidth="1"/>
    <x:col min="7" max="7" width="26" hidden="0" customWidth="1"/>
    <x:col min="8" max="8" width="34" hidden="0" customWidth="1"/>
  </x:cols>
  <x:sheetData>
    <x:row r="1" ht="26" customHeight="1">
      <x:c r="A1" s="3" t="str">
        <x:v>Finance Additions and Reconciliation Controls</x:v>
      </x:c>
      <x:c r="B1" s="3"/>
      <x:c r="C1" s="3"/>
      <x:c r="D1" s="3"/>
      <x:c r="E1" s="3"/>
      <x:c r="F1" s="3"/>
      <x:c r="G1" s="3"/>
      <x:c r="H1" s="3"/>
    </x:row>
    <x:row r="2" ht="26" customHeight="1">
      <x:c r="A2" s="5" t="str">
        <x:v>Use this sheet to add Finance-specific release conditions, evidence requirements, and approvers</x:v>
      </x:c>
      <x:c r="B2" s="5"/>
      <x:c r="C2" s="5"/>
      <x:c r="D2" s="5"/>
      <x:c r="E2" s="5"/>
      <x:c r="F2" s="5"/>
      <x:c r="G2" s="5"/>
      <x:c r="H2" s="5"/>
    </x:row>
    <x:row r="3" ht="5" customHeight="1">
      <x:c r="A3" s="6"/>
      <x:c r="B3" s="6"/>
      <x:c r="C3" s="6"/>
      <x:c r="D3" s="6"/>
      <x:c r="E3" s="6"/>
      <x:c r="F3" s="6"/>
      <x:c r="G3" s="6"/>
      <x:c r="H3" s="6"/>
    </x:row>
    <x:row r="4">
      <x:c r="A4" s="76" t="str">
        <x:v>Add one row per Finance control. Examples: valuation method, GL impact, tax treatment, document numbering, stock valuation, period close, audit trail, or report reconciliation.</x:v>
      </x:c>
      <x:c r="B4" s="77"/>
      <x:c r="C4" s="77"/>
      <x:c r="D4" s="77"/>
      <x:c r="E4" s="77"/>
      <x:c r="F4" s="77"/>
      <x:c r="G4" s="77"/>
      <x:c r="H4" s="78"/>
    </x:row>
    <x:row r="5">
      <x:c r="A5" s="79"/>
      <x:c r="B5" s="80"/>
      <x:c r="C5" s="80"/>
      <x:c r="D5" s="80"/>
      <x:c r="E5" s="80"/>
      <x:c r="F5" s="80"/>
      <x:c r="G5" s="80"/>
      <x:c r="H5" s="81"/>
    </x:row>
    <x:row r="7" ht="34" customHeight="1">
      <x:c r="A7" s="56" t="str">
        <x:v>ID</x:v>
      </x:c>
      <x:c r="B7" s="56" t="str">
        <x:v>Finance control / criterion</x:v>
      </x:c>
      <x:c r="C7" s="56" t="str">
        <x:v>Required evidence</x:v>
      </x:c>
      <x:c r="D7" s="56" t="str">
        <x:v>Finance owner</x:v>
      </x:c>
      <x:c r="E7" s="56" t="str">
        <x:v>Criticality</x:v>
      </x:c>
      <x:c r="F7" s="56" t="str">
        <x:v>Result</x:v>
      </x:c>
      <x:c r="G7" s="56" t="str">
        <x:v>Evidence reference</x:v>
      </x:c>
      <x:c r="H7" s="56" t="str">
        <x:v>Comments / action owner</x:v>
      </x:c>
    </x:row>
    <x:row r="8" ht="40" customHeight="1">
      <x:c r="A8" s="98" t="str">
        <x:v>F-01</x:v>
      </x:c>
      <x:c r="B8" s="66" t="str"/>
      <x:c r="C8" s="66" t="str"/>
      <x:c r="D8" s="66" t="str"/>
      <x:c r="E8" s="66" t="str">
        <x:v>High</x:v>
      </x:c>
      <x:c r="F8" s="66" t="str">
        <x:v>Not Tested</x:v>
      </x:c>
      <x:c r="G8" s="66" t="str"/>
      <x:c r="H8" s="66" t="str"/>
    </x:row>
    <x:row r="9" ht="40" customHeight="1">
      <x:c r="A9" s="99" t="str">
        <x:v>F-02</x:v>
      </x:c>
      <x:c r="B9" s="90" t="str"/>
      <x:c r="C9" s="90" t="str"/>
      <x:c r="D9" s="90" t="str"/>
      <x:c r="E9" s="90" t="str">
        <x:v>High</x:v>
      </x:c>
      <x:c r="F9" s="90" t="str">
        <x:v>Not Tested</x:v>
      </x:c>
      <x:c r="G9" s="90" t="str"/>
      <x:c r="H9" s="90" t="str"/>
    </x:row>
    <x:row r="10" ht="40" customHeight="1">
      <x:c r="A10" s="99" t="str">
        <x:v>F-03</x:v>
      </x:c>
      <x:c r="B10" s="67" t="str"/>
      <x:c r="C10" s="67" t="str"/>
      <x:c r="D10" s="67" t="str"/>
      <x:c r="E10" s="67" t="str">
        <x:v>High</x:v>
      </x:c>
      <x:c r="F10" s="67" t="str">
        <x:v>Not Tested</x:v>
      </x:c>
      <x:c r="G10" s="67" t="str"/>
      <x:c r="H10" s="67" t="str"/>
    </x:row>
    <x:row r="11" ht="40" customHeight="1">
      <x:c r="A11" s="99" t="str">
        <x:v>F-04</x:v>
      </x:c>
      <x:c r="B11" s="90" t="str"/>
      <x:c r="C11" s="90" t="str"/>
      <x:c r="D11" s="90" t="str"/>
      <x:c r="E11" s="90" t="str">
        <x:v>High</x:v>
      </x:c>
      <x:c r="F11" s="90" t="str">
        <x:v>Not Tested</x:v>
      </x:c>
      <x:c r="G11" s="90" t="str"/>
      <x:c r="H11" s="90" t="str"/>
    </x:row>
    <x:row r="12" ht="40" customHeight="1">
      <x:c r="A12" s="99" t="str">
        <x:v>F-05</x:v>
      </x:c>
      <x:c r="B12" s="67" t="str"/>
      <x:c r="C12" s="67" t="str"/>
      <x:c r="D12" s="67" t="str"/>
      <x:c r="E12" s="67" t="str">
        <x:v>High</x:v>
      </x:c>
      <x:c r="F12" s="67" t="str">
        <x:v>Not Tested</x:v>
      </x:c>
      <x:c r="G12" s="67" t="str"/>
      <x:c r="H12" s="67" t="str"/>
    </x:row>
    <x:row r="13" ht="40" customHeight="1">
      <x:c r="A13" s="99" t="str">
        <x:v>F-06</x:v>
      </x:c>
      <x:c r="B13" s="90" t="str"/>
      <x:c r="C13" s="90" t="str"/>
      <x:c r="D13" s="90" t="str"/>
      <x:c r="E13" s="90" t="str">
        <x:v>High</x:v>
      </x:c>
      <x:c r="F13" s="90" t="str">
        <x:v>Not Tested</x:v>
      </x:c>
      <x:c r="G13" s="90" t="str"/>
      <x:c r="H13" s="90" t="str"/>
    </x:row>
    <x:row r="14" ht="40" customHeight="1">
      <x:c r="A14" s="99" t="str">
        <x:v>F-07</x:v>
      </x:c>
      <x:c r="B14" s="67" t="str"/>
      <x:c r="C14" s="67" t="str"/>
      <x:c r="D14" s="67" t="str"/>
      <x:c r="E14" s="67" t="str">
        <x:v>High</x:v>
      </x:c>
      <x:c r="F14" s="67" t="str">
        <x:v>Not Tested</x:v>
      </x:c>
      <x:c r="G14" s="67" t="str"/>
      <x:c r="H14" s="67" t="str"/>
    </x:row>
    <x:row r="15" ht="40" customHeight="1">
      <x:c r="A15" s="99" t="str">
        <x:v>F-08</x:v>
      </x:c>
      <x:c r="B15" s="90" t="str"/>
      <x:c r="C15" s="90" t="str"/>
      <x:c r="D15" s="90" t="str"/>
      <x:c r="E15" s="90" t="str">
        <x:v>High</x:v>
      </x:c>
      <x:c r="F15" s="90" t="str">
        <x:v>Not Tested</x:v>
      </x:c>
      <x:c r="G15" s="90" t="str"/>
      <x:c r="H15" s="90" t="str"/>
    </x:row>
    <x:row r="16" ht="40" customHeight="1">
      <x:c r="A16" s="99" t="str">
        <x:v>F-09</x:v>
      </x:c>
      <x:c r="B16" s="67" t="str"/>
      <x:c r="C16" s="67" t="str"/>
      <x:c r="D16" s="67" t="str"/>
      <x:c r="E16" s="67" t="str">
        <x:v>High</x:v>
      </x:c>
      <x:c r="F16" s="67" t="str">
        <x:v>Not Tested</x:v>
      </x:c>
      <x:c r="G16" s="67" t="str"/>
      <x:c r="H16" s="67" t="str"/>
    </x:row>
    <x:row r="17" ht="40" customHeight="1">
      <x:c r="A17" s="100" t="str">
        <x:v>F-10</x:v>
      </x:c>
      <x:c r="B17" s="91" t="str"/>
      <x:c r="C17" s="91" t="str"/>
      <x:c r="D17" s="91" t="str"/>
      <x:c r="E17" s="91" t="str">
        <x:v>High</x:v>
      </x:c>
      <x:c r="F17" s="91" t="str">
        <x:v>Not Tested</x:v>
      </x:c>
      <x:c r="G17" s="91" t="str"/>
      <x:c r="H17" s="91" t="str"/>
    </x:row>
  </x:sheetData>
  <x:mergeCells>
    <x:mergeCell ref="A1:H1"/>
    <x:mergeCell ref="A2:H2"/>
    <x:mergeCell ref="A4:H5"/>
  </x:mergeCells>
  <x:conditionalFormatting sqref="F8:F17">
    <x:cfRule type="containsText" dxfId="6" priority="1" operator="containsText" text="Pass"/>
    <x:cfRule type="containsText" dxfId="7" priority="2" operator="containsText" text="Fail"/>
    <x:cfRule type="containsText" dxfId="8" priority="3" operator="containsText" text="Conditional"/>
  </x:conditionalFormatting>
  <x:dataValidations count="2">
    <x:dataValidation type="list" sqref="E8:E17">
      <x:formula1>"Critical,High,Medium"</x:formula1>
    </x:dataValidation>
    <x:dataValidation type="list" sqref="F8:F17">
      <x:formula1>"Not Tested,Pass,Conditional Pass,Fail,Not Applicable"</x:formula1>
    </x:dataValidation>
  </x:dataValidations>
  <x:pageMargins left="0.7" right="0.7" top="0.75" bottom="0.75" header="0.3" footer="0.3"/>
</x:worksheet>
</file>